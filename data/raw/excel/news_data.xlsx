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02cf5aefc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s" sheetId="1" r:id="Rc974d90e34c94403"/>
    <x:sheet xmlns:r="http://schemas.openxmlformats.org/officeDocument/2006/relationships" name="Summary" sheetId="2" r:id="R3d5e531cfd00412b"/>
    <x:sheet xmlns:r="http://schemas.openxmlformats.org/officeDocument/2006/relationships" name="DailyStats" sheetId="3" r:id="Ra1a6216d226b4f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"/>
    <x:numFmt numFmtId="165" formatCode="#,##0.0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  <x:color rgb="001F1F1F"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44546A"/>
      </x:patternFill>
    </x:fill>
    <x:fill>
      <x:patternFill patternType="solid">
        <x:fgColor rgb="0070AD4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0" xfId="0" applyAlignment="1">
      <x:alignment horizontal="center" vertical="center"/>
    </x:xf>
    <x:xf numFmtId="0" fontId="0" fillId="0" borderId="0" xfId="0" applyAlignment="1">
      <x:alignment vertical="center"/>
    </x:xf>
    <x:xf numFmtId="3" fontId="0" fillId="0" borderId="0" xfId="0" applyAlignment="1">
      <x:alignment vertical="center"/>
    </x:xf>
    <x:xf numFmtId="164" fontId="0" fillId="0" borderId="0" xfId="0" applyAlignment="1">
      <x:alignment vertical="center"/>
    </x:xf>
    <x:xf numFmtId="0" fontId="2" fillId="0" borderId="0" xfId="0"/>
    <x:xf numFmtId="0" fontId="1" fillId="3" borderId="0" xfId="0"/>
    <x:xf numFmtId="3" fontId="0" fillId="0" borderId="0" xfId="0"/>
    <x:xf numFmtId="164" fontId="0" fillId="0" borderId="0" xfId="0"/>
    <x:xf numFmtId="0" fontId="1" fillId="4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713dea4d474206" /><Relationship Type="http://schemas.openxmlformats.org/officeDocument/2006/relationships/theme" Target="/xl/theme/theme1.xml" Id="Red3bad28b6eb4452" /><Relationship Type="http://schemas.openxmlformats.org/officeDocument/2006/relationships/sharedStrings" Target="/xl/sharedStrings.xml" Id="Ree8ef0cc6d114e2c" /><Relationship Type="http://schemas.openxmlformats.org/officeDocument/2006/relationships/worksheet" Target="/xl/worksheets/sheet1.xml" Id="Rc974d90e34c94403" /><Relationship Type="http://schemas.openxmlformats.org/officeDocument/2006/relationships/worksheet" Target="/xl/worksheets/sheet2.xml" Id="R3d5e531cfd00412b" /><Relationship Type="http://schemas.openxmlformats.org/officeDocument/2006/relationships/worksheet" Target="/xl/worksheets/sheet3.xml" Id="Ra1a6216d226b4fc2" /></Relationships>
</file>

<file path=xl/tables/table1.xml><?xml version="1.0" encoding="utf-8"?>
<x:table xmlns:x="http://schemas.openxmlformats.org/spreadsheetml/2006/main" id="1" name="ArticlesTable" displayName="ArticlesTable" ref="A1:I11" headerRowCount="1">
  <x:autoFilter ref="A1:I11"/>
  <x:tableColumns count="9">
    <x:tableColumn id="1" name="id"/>
    <x:tableColumn id="2" name="title"/>
    <x:tableColumn id="3" name="source"/>
    <x:tableColumn id="4" name="category"/>
    <x:tableColumn id="5" name="published_date"/>
    <x:tableColumn id="6" name="mentions"/>
    <x:tableColumn id="7" name="sentiment_score"/>
    <x:tableColumn id="8" name="language"/>
    <x:tableColumn id="9" name="region"/>
  </x:tableColumns>
  <x:tableStyleInfo name="TableStyleMedium2" showRowStripes="1"/>
</x:table>
</file>

<file path=xl/tables/table2.xml><?xml version="1.0" encoding="utf-8"?>
<x:table xmlns:x="http://schemas.openxmlformats.org/spreadsheetml/2006/main" id="2" name="DailyStatsTable" displayName="DailyStatsTable" ref="A1:E6" headerRowCount="1">
  <x:autoFilter ref="A1:E6"/>
  <x:tableColumns count="5">
    <x:tableColumn id="1" name="Date"/>
    <x:tableColumn id="2" name="Political Mentions"/>
    <x:tableColumn id="3" name="Business Mentions"/>
    <x:tableColumn id="4" name="Sports Mentions"/>
    <x:tableColumn id="5" name="Total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80e4beefb84d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3faa4d418043e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8" customWidth="1"/>
    <x:col min="3" max="3" width="18" customWidth="1"/>
    <x:col min="4" max="4" width="14" customWidth="1"/>
    <x:col min="5" max="5" width="15" customWidth="1"/>
    <x:col min="6" max="6" width="12" customWidth="1"/>
    <x:col min="7" max="7" width="16" customWidth="1"/>
    <x:col min="8" max="8" width="12" customWidth="1"/>
    <x:col min="9" max="9" width="12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title</x:t>
        </x:is>
      </x:c>
      <x:c r="C1" s="1" t="inlineStr">
        <x:is>
          <x:t xml:space="preserve">source</x:t>
        </x:is>
      </x:c>
      <x:c r="D1" s="1" t="inlineStr">
        <x:is>
          <x:t xml:space="preserve">category</x:t>
        </x:is>
      </x:c>
      <x:c r="E1" s="1" t="inlineStr">
        <x:is>
          <x:t xml:space="preserve">published_date</x:t>
        </x:is>
      </x:c>
      <x:c r="F1" s="1" t="inlineStr">
        <x:is>
          <x:t xml:space="preserve">mentions</x:t>
        </x:is>
      </x:c>
      <x:c r="G1" s="1" t="inlineStr">
        <x:is>
          <x:t xml:space="preserve">sentiment_score</x:t>
        </x:is>
      </x:c>
      <x:c r="H1" s="1" t="inlineStr">
        <x:is>
          <x:t xml:space="preserve">language</x:t>
        </x:is>
      </x:c>
      <x:c r="I1" s="1" t="inlineStr">
        <x:is>
          <x:t xml:space="preserve">region</x:t>
        </x:is>
      </x:c>
    </x:row>
    <x:row r="2">
      <x:c r="A2" s="2" t="n">
        <x:v>1</x:v>
      </x:c>
      <x:c r="B2" s="2" t="inlineStr">
        <x:is>
          <x:t xml:space="preserve">Election Update</x:t>
        </x:is>
      </x:c>
      <x:c r="C2" s="2" t="inlineStr">
        <x:is>
          <x:t xml:space="preserve">BBC</x:t>
        </x:is>
      </x:c>
      <x:c r="D2" s="2" t="inlineStr">
        <x:is>
          <x:t xml:space="preserve">Politics</x:t>
        </x:is>
      </x:c>
      <x:c r="E2" s="2" t="inlineStr">
        <x:is>
          <x:t xml:space="preserve">2026-03-20</x:t>
        </x:is>
      </x:c>
      <x:c r="F2" s="3" t="n">
        <x:v>34</x:v>
      </x:c>
      <x:c r="G2" s="4" t="n">
        <x:v>0.4</x:v>
      </x:c>
      <x:c r="H2" s="2" t="inlineStr">
        <x:is>
          <x:t xml:space="preserve">English</x:t>
        </x:is>
      </x:c>
      <x:c r="I2" s="2" t="inlineStr">
        <x:is>
          <x:t xml:space="preserve">UK</x:t>
        </x:is>
      </x:c>
    </x:row>
    <x:row r="3">
      <x:c r="A3" s="2" t="n">
        <x:v>2</x:v>
      </x:c>
      <x:c r="B3" s="2" t="inlineStr">
        <x:is>
          <x:t xml:space="preserve">AI Market Growth</x:t>
        </x:is>
      </x:c>
      <x:c r="C3" s="2" t="inlineStr">
        <x:is>
          <x:t xml:space="preserve">Reuters</x:t>
        </x:is>
      </x:c>
      <x:c r="D3" s="2" t="inlineStr">
        <x:is>
          <x:t xml:space="preserve">Business</x:t>
        </x:is>
      </x:c>
      <x:c r="E3" s="2" t="inlineStr">
        <x:is>
          <x:t xml:space="preserve">2026-03-21</x:t>
        </x:is>
      </x:c>
      <x:c r="F3" s="3" t="n">
        <x:v>28</x:v>
      </x:c>
      <x:c r="G3" s="4" t="n">
        <x:v>0.7</x:v>
      </x:c>
      <x:c r="H3" s="2" t="inlineStr">
        <x:is>
          <x:t xml:space="preserve">English</x:t>
        </x:is>
      </x:c>
      <x:c r="I3" s="2" t="inlineStr">
        <x:is>
          <x:t xml:space="preserve">Global</x:t>
        </x:is>
      </x:c>
    </x:row>
    <x:row r="4">
      <x:c r="A4" s="2" t="n">
        <x:v>3</x:v>
      </x:c>
      <x:c r="B4" s="2" t="inlineStr">
        <x:is>
          <x:t xml:space="preserve">Sports Highlights</x:t>
        </x:is>
      </x:c>
      <x:c r="C4" s="2" t="inlineStr">
        <x:is>
          <x:t xml:space="preserve">CNN</x:t>
        </x:is>
      </x:c>
      <x:c r="D4" s="2" t="inlineStr">
        <x:is>
          <x:t xml:space="preserve">Sports</x:t>
        </x:is>
      </x:c>
      <x:c r="E4" s="2" t="inlineStr">
        <x:is>
          <x:t xml:space="preserve">2026-03-21</x:t>
        </x:is>
      </x:c>
      <x:c r="F4" s="3" t="n">
        <x:v>19</x:v>
      </x:c>
      <x:c r="G4" s="4" t="n">
        <x:v>0.5</x:v>
      </x:c>
      <x:c r="H4" s="2" t="inlineStr">
        <x:is>
          <x:t xml:space="preserve">English</x:t>
        </x:is>
      </x:c>
      <x:c r="I4" s="2" t="inlineStr">
        <x:is>
          <x:t xml:space="preserve">US</x:t>
        </x:is>
      </x:c>
    </x:row>
    <x:row r="5">
      <x:c r="A5" s="2" t="n">
        <x:v>4</x:v>
      </x:c>
      <x:c r="B5" s="2" t="inlineStr">
        <x:is>
          <x:t xml:space="preserve">Climate Policy Shift</x:t>
        </x:is>
      </x:c>
      <x:c r="C5" s="2" t="inlineStr">
        <x:is>
          <x:t xml:space="preserve">AP</x:t>
        </x:is>
      </x:c>
      <x:c r="D5" s="2" t="inlineStr">
        <x:is>
          <x:t xml:space="preserve">Politics</x:t>
        </x:is>
      </x:c>
      <x:c r="E5" s="2" t="inlineStr">
        <x:is>
          <x:t xml:space="preserve">2026-03-22</x:t>
        </x:is>
      </x:c>
      <x:c r="F5" s="3" t="n">
        <x:v>23</x:v>
      </x:c>
      <x:c r="G5" s="4" t="n">
        <x:v>0.3</x:v>
      </x:c>
      <x:c r="H5" s="2" t="inlineStr">
        <x:is>
          <x:t xml:space="preserve">English</x:t>
        </x:is>
      </x:c>
      <x:c r="I5" s="2" t="inlineStr">
        <x:is>
          <x:t xml:space="preserve">US</x:t>
        </x:is>
      </x:c>
    </x:row>
    <x:row r="6">
      <x:c r="A6" s="2" t="n">
        <x:v>5</x:v>
      </x:c>
      <x:c r="B6" s="2" t="inlineStr">
        <x:is>
          <x:t xml:space="preserve">Café Culture Trends</x:t>
        </x:is>
      </x:c>
      <x:c r="C6" s="2" t="inlineStr">
        <x:is>
          <x:t xml:space="preserve">Le Monde</x:t>
        </x:is>
      </x:c>
      <x:c r="D6" s="2" t="inlineStr">
        <x:is>
          <x:t xml:space="preserve">Culture</x:t>
        </x:is>
      </x:c>
      <x:c r="E6" s="2" t="inlineStr">
        <x:is>
          <x:t xml:space="preserve">2026-03-22</x:t>
        </x:is>
      </x:c>
      <x:c r="F6" s="3" t="n">
        <x:v>14</x:v>
      </x:c>
      <x:c r="G6" s="4" t="n">
        <x:v>0.6</x:v>
      </x:c>
      <x:c r="H6" s="2" t="inlineStr">
        <x:is>
          <x:t xml:space="preserve">French</x:t>
        </x:is>
      </x:c>
      <x:c r="I6" s="2" t="inlineStr">
        <x:is>
          <x:t xml:space="preserve">EU</x:t>
        </x:is>
      </x:c>
    </x:row>
    <x:row r="7">
      <x:c r="A7" s="2" t="n">
        <x:v>6</x:v>
      </x:c>
      <x:c r="B7" s="2" t="inlineStr">
        <x:is>
          <x:t xml:space="preserve">München Startup Round</x:t>
        </x:is>
      </x:c>
      <x:c r="C7" s="2" t="inlineStr">
        <x:is>
          <x:t xml:space="preserve">DW</x:t>
        </x:is>
      </x:c>
      <x:c r="D7" s="2" t="inlineStr">
        <x:is>
          <x:t xml:space="preserve">Technology</x:t>
        </x:is>
      </x:c>
      <x:c r="E7" s="2" t="inlineStr">
        <x:is>
          <x:t xml:space="preserve">2026-03-23</x:t>
        </x:is>
      </x:c>
      <x:c r="F7" s="3" t="n">
        <x:v>17</x:v>
      </x:c>
      <x:c r="G7" s="4" t="n">
        <x:v>0.8</x:v>
      </x:c>
      <x:c r="H7" s="2" t="inlineStr">
        <x:is>
          <x:t xml:space="preserve">German</x:t>
        </x:is>
      </x:c>
      <x:c r="I7" s="2" t="inlineStr">
        <x:is>
          <x:t xml:space="preserve">EU</x:t>
        </x:is>
      </x:c>
    </x:row>
    <x:row r="8">
      <x:c r="A8" s="2" t="n">
        <x:v>7</x:v>
      </x:c>
      <x:c r="B8" s="2" t="inlineStr">
        <x:is>
          <x:t xml:space="preserve">Žurnal Election Pulse</x:t>
        </x:is>
      </x:c>
      <x:c r="C8" s="2" t="inlineStr">
        <x:is>
          <x:t xml:space="preserve">Žurnal</x:t>
        </x:is>
      </x:c>
      <x:c r="D8" s="2" t="inlineStr">
        <x:is>
          <x:t xml:space="preserve">Politics</x:t>
        </x:is>
      </x:c>
      <x:c r="E8" s="2" t="inlineStr">
        <x:is>
          <x:t xml:space="preserve">2026-03-23</x:t>
        </x:is>
      </x:c>
      <x:c r="F8" s="3" t="n">
        <x:v>21</x:v>
      </x:c>
      <x:c r="G8" s="4" t="n">
        <x:v>0.5</x:v>
      </x:c>
      <x:c r="H8" s="2" t="inlineStr">
        <x:is>
          <x:t xml:space="preserve">Bosnian</x:t>
        </x:is>
      </x:c>
      <x:c r="I8" s="2" t="inlineStr">
        <x:is>
          <x:t xml:space="preserve">Balkans</x:t>
        </x:is>
      </x:c>
    </x:row>
    <x:row r="9">
      <x:c r="A9" s="2" t="n">
        <x:v>8</x:v>
      </x:c>
      <x:c r="B9" s="2" t="inlineStr">
        <x:is>
          <x:t xml:space="preserve">Streaming Rights Watch</x:t>
        </x:is>
      </x:c>
      <x:c r="C9" s="2" t="inlineStr">
        <x:is>
          <x:t xml:space="preserve">Financial Times</x:t>
        </x:is>
      </x:c>
      <x:c r="D9" s="2" t="inlineStr">
        <x:is>
          <x:t xml:space="preserve">Business</x:t>
        </x:is>
      </x:c>
      <x:c r="E9" s="2" t="inlineStr">
        <x:is>
          <x:t xml:space="preserve">2026-03-24</x:t>
        </x:is>
      </x:c>
      <x:c r="F9" s="3" t="n">
        <x:v>26</x:v>
      </x:c>
      <x:c r="G9" s="4" t="n">
        <x:v>0.4</x:v>
      </x:c>
      <x:c r="H9" s="2" t="inlineStr">
        <x:is>
          <x:t xml:space="preserve">English</x:t>
        </x:is>
      </x:c>
      <x:c r="I9" s="2" t="inlineStr">
        <x:is>
          <x:t xml:space="preserve">UK</x:t>
        </x:is>
      </x:c>
    </x:row>
    <x:row r="10">
      <x:c r="A10" s="2" t="n">
        <x:v>9</x:v>
      </x:c>
      <x:c r="B10" s="2" t="inlineStr">
        <x:is>
          <x:t xml:space="preserve">Weekend Match Buzz</x:t>
        </x:is>
      </x:c>
      <x:c r="C10" s="2" t="inlineStr">
        <x:is>
          <x:t xml:space="preserve">ESPN</x:t>
        </x:is>
      </x:c>
      <x:c r="D10" s="2" t="inlineStr">
        <x:is>
          <x:t xml:space="preserve">Sports</x:t>
        </x:is>
      </x:c>
      <x:c r="E10" s="2" t="inlineStr">
        <x:is>
          <x:t xml:space="preserve">2026-03-24</x:t>
        </x:is>
      </x:c>
      <x:c r="F10" s="3" t="n">
        <x:v>31</x:v>
      </x:c>
      <x:c r="G10" s="4" t="n">
        <x:v>0.7</x:v>
      </x:c>
      <x:c r="H10" s="2" t="inlineStr">
        <x:is>
          <x:t xml:space="preserve">English</x:t>
        </x:is>
      </x:c>
      <x:c r="I10" s="2" t="inlineStr">
        <x:is>
          <x:t xml:space="preserve">US</x:t>
        </x:is>
      </x:c>
    </x:row>
    <x:row r="11">
      <x:c r="A11" s="2" t="n">
        <x:v>10</x:v>
      </x:c>
      <x:c r="B11" s="2" t="inlineStr">
        <x:is>
          <x:t xml:space="preserve">Inflation Briefing</x:t>
        </x:is>
      </x:c>
      <x:c r="C11" s="2" t="inlineStr">
        <x:is>
          <x:t xml:space="preserve">Al Jazeera</x:t>
        </x:is>
      </x:c>
      <x:c r="D11" s="2" t="inlineStr">
        <x:is>
          <x:t xml:space="preserve">Business</x:t>
        </x:is>
      </x:c>
      <x:c r="E11" s="2" t="inlineStr">
        <x:is>
          <x:t xml:space="preserve">2026-03-25</x:t>
        </x:is>
      </x:c>
      <x:c r="F11" s="3" t="n">
        <x:v>22</x:v>
      </x:c>
      <x:c r="G11" s="4" t="n">
        <x:v>0.2</x:v>
      </x:c>
      <x:c r="H11" s="2" t="inlineStr">
        <x:is>
          <x:t xml:space="preserve">English</x:t>
        </x:is>
      </x:c>
      <x:c r="I11" s="2" t="inlineStr">
        <x:is>
          <x:t xml:space="preserve">Global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da80e4beefb84d5a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16" customWidth="1"/>
  </x:cols>
  <x:sheetData>
    <x:row r="1">
      <x:c r="A1" s="5" t="inlineStr">
        <x:is>
          <x:t xml:space="preserve">News monitoring summary</x:t>
        </x:is>
      </x:c>
    </x:row>
    <x:row r="3">
      <x:c r="A3" s="6" t="inlineStr">
        <x:is>
          <x:t xml:space="preserve">Metric</x:t>
        </x:is>
      </x:c>
      <x:c r="B3" s="6" t="inlineStr">
        <x:is>
          <x:t xml:space="preserve">Value</x:t>
        </x:is>
      </x:c>
    </x:row>
    <x:row r="4">
      <x:c r="A4" t="inlineStr">
        <x:is>
          <x:t xml:space="preserve">Total Articles</x:t>
        </x:is>
      </x:c>
      <x:c r="B4" s="7">
        <x:f>COUNTA(Articles!A2:A100)</x:f>
        <x:v>10</x:v>
      </x:c>
    </x:row>
    <x:row r="5">
      <x:c r="A5" t="inlineStr">
        <x:is>
          <x:t xml:space="preserve">Total Mentions</x:t>
        </x:is>
      </x:c>
      <x:c r="B5" s="7">
        <x:f>SUM(Articles!F2:F100)</x:f>
        <x:v>235</x:v>
      </x:c>
    </x:row>
    <x:row r="6">
      <x:c r="A6" t="inlineStr">
        <x:is>
          <x:t xml:space="preserve">Average Mentions</x:t>
        </x:is>
      </x:c>
      <x:c r="B6" s="8">
        <x:f>AVERAGE(Articles!F2:F100)</x:f>
        <x:v>23.5</x:v>
      </x:c>
    </x:row>
    <x:row r="7">
      <x:c r="A7" t="inlineStr">
        <x:is>
          <x:t xml:space="preserve">Average Sentiment</x:t>
        </x:is>
      </x:c>
      <x:c r="B7" s="8">
        <x:f>AVERAGE(Articles!G2:G100)</x:f>
        <x:v>0.51</x:v>
      </x:c>
    </x:row>
    <x:row r="8">
      <x:c r="A8" t="inlineStr">
        <x:is>
          <x:t xml:space="preserve">Highest Mentions</x:t>
        </x:is>
      </x:c>
      <x:c r="B8" s="7">
        <x:f>MAX(Articles!F2:F100)</x:f>
        <x:v>34</x:v>
      </x:c>
    </x:row>
    <x:row r="9">
      <x:c r="A9" t="inlineStr">
        <x:is>
          <x:t xml:space="preserve">Politics Articles</x:t>
        </x:is>
      </x:c>
      <x:c r="B9" s="7">
        <x:f>COUNTIF(Articles!D2:D100,"Politics")</x:f>
        <x:v>3</x:v>
      </x:c>
    </x:row>
    <x:row r="10">
      <x:c r="A10" t="inlineStr">
        <x:is>
          <x:t xml:space="preserve">Business Articles</x:t>
        </x:is>
      </x:c>
      <x:c r="B10" s="7">
        <x:f>COUNTIF(Articles!D2:D100,"Business")</x:f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8" customWidth="1"/>
    <x:col min="3" max="3" width="18" customWidth="1"/>
    <x:col min="4" max="4" width="16" customWidth="1"/>
    <x:col min="5" max="5" width="10" customWidth="1"/>
  </x:cols>
  <x:sheetData>
    <x:row r="1">
      <x:c r="A1" s="9" t="inlineStr">
        <x:is>
          <x:t xml:space="preserve">Date</x:t>
        </x:is>
      </x:c>
      <x:c r="B1" s="9" t="inlineStr">
        <x:is>
          <x:t xml:space="preserve">Political Mentions</x:t>
        </x:is>
      </x:c>
      <x:c r="C1" s="9" t="inlineStr">
        <x:is>
          <x:t xml:space="preserve">Business Mentions</x:t>
        </x:is>
      </x:c>
      <x:c r="D1" s="9" t="inlineStr">
        <x:is>
          <x:t xml:space="preserve">Sports Mentions</x:t>
        </x:is>
      </x:c>
      <x:c r="E1" s="9" t="inlineStr">
        <x:is>
          <x:t xml:space="preserve">Total</x:t>
        </x:is>
      </x:c>
    </x:row>
    <x:row r="2">
      <x:c r="A2" t="inlineStr">
        <x:is>
          <x:t xml:space="preserve">2026-03-20</x:t>
        </x:is>
      </x:c>
      <x:c r="B2" t="n">
        <x:v>12</x:v>
      </x:c>
      <x:c r="C2" t="n">
        <x:v>11</x:v>
      </x:c>
      <x:c r="D2" t="n">
        <x:v>6</x:v>
      </x:c>
      <x:c r="E2">
        <x:f>SUM(B2:D2)</x:f>
        <x:v>29</x:v>
      </x:c>
    </x:row>
    <x:row r="3">
      <x:c r="A3" t="inlineStr">
        <x:is>
          <x:t xml:space="preserve">2026-03-21</x:t>
        </x:is>
      </x:c>
      <x:c r="B3" t="n">
        <x:v>14</x:v>
      </x:c>
      <x:c r="C3" t="n">
        <x:v>15</x:v>
      </x:c>
      <x:c r="D3" t="n">
        <x:v>5</x:v>
      </x:c>
      <x:c r="E3">
        <x:f>SUM(B3:D3)</x:f>
        <x:v>34</x:v>
      </x:c>
    </x:row>
    <x:row r="4">
      <x:c r="A4" t="inlineStr">
        <x:is>
          <x:t xml:space="preserve">2026-03-22</x:t>
        </x:is>
      </x:c>
      <x:c r="B4" t="n">
        <x:v>10</x:v>
      </x:c>
      <x:c r="C4" t="n">
        <x:v>9</x:v>
      </x:c>
      <x:c r="D4" t="n">
        <x:v>8</x:v>
      </x:c>
      <x:c r="E4">
        <x:f>SUM(B4:D4)</x:f>
        <x:v>27</x:v>
      </x:c>
    </x:row>
    <x:row r="5">
      <x:c r="A5" t="inlineStr">
        <x:is>
          <x:t xml:space="preserve">2026-03-23</x:t>
        </x:is>
      </x:c>
      <x:c r="B5" t="n">
        <x:v>13</x:v>
      </x:c>
      <x:c r="C5" t="n">
        <x:v>12</x:v>
      </x:c>
      <x:c r="D5" t="n">
        <x:v>9</x:v>
      </x:c>
      <x:c r="E5">
        <x:f>SUM(B5:D5)</x:f>
        <x:v>34</x:v>
      </x:c>
    </x:row>
    <x:row r="6">
      <x:c r="A6" t="inlineStr">
        <x:is>
          <x:t xml:space="preserve">2026-03-24</x:t>
        </x:is>
      </x:c>
      <x:c r="B6" t="n">
        <x:v>16</x:v>
      </x:c>
      <x:c r="C6" t="n">
        <x:v>10</x:v>
      </x:c>
      <x:c r="D6" t="n">
        <x:v>14</x:v>
      </x:c>
      <x:c r="E6">
        <x:f>SUM(B6:D6)</x:f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1c3faa4d418043ed"/>
  </x:tableParts>
</x:worksheet>
</file>